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i-chenyang/Desktop/桌面 - Kai-chen的MacBook Pro/Codex /資料庫建置/"/>
    </mc:Choice>
  </mc:AlternateContent>
  <xr:revisionPtr revIDLastSave="0" documentId="13_ncr:1_{0770C972-2C33-B740-B00C-A73337DC73D8}" xr6:coauthVersionLast="47" xr6:coauthVersionMax="47" xr10:uidLastSave="{00000000-0000-0000-0000-000000000000}"/>
  <bookViews>
    <workbookView xWindow="-12220" yWindow="-28200" windowWidth="51200" windowHeight="28200" xr2:uid="{00000000-000D-0000-FFFF-FFFF00000000}"/>
  </bookViews>
  <sheets>
    <sheet name="採購系統時間表" sheetId="1" r:id="rId1"/>
    <sheet name="Dashboard" sheetId="2" r:id="rId2"/>
    <sheet name="填寫說明" sheetId="3" r:id="rId3"/>
  </sheets>
  <definedNames>
    <definedName name="_xlnm._FilterDatabase" localSheetId="0" hidden="1">採購系統時間表!$A$3:$N$22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B8" i="2" l="1"/>
</calcChain>
</file>

<file path=xl/sharedStrings.xml><?xml version="1.0" encoding="utf-8"?>
<sst xmlns="http://schemas.openxmlformats.org/spreadsheetml/2006/main" count="210" uniqueCount="123">
  <si>
    <t>採購系統建置時間表</t>
  </si>
  <si>
    <t>請填藍字欄位；Dashboard 會自動依本表統計。主線：資料清洗 -&gt; 前端架構 -&gt; 資料庫對接 -&gt; QA -&gt; 導入 -&gt; 驗收。</t>
  </si>
  <si>
    <t>大Item</t>
  </si>
  <si>
    <t>小Item</t>
  </si>
  <si>
    <t>負責人</t>
  </si>
  <si>
    <t>開始日</t>
  </si>
  <si>
    <t>結束日</t>
  </si>
  <si>
    <t>進度%</t>
  </si>
  <si>
    <t>狀態</t>
  </si>
  <si>
    <t>風險/問題</t>
  </si>
  <si>
    <t>本週進展</t>
  </si>
  <si>
    <t>下週計畫</t>
  </si>
  <si>
    <t>需協助/Blocker</t>
  </si>
  <si>
    <t>延誤判斷</t>
  </si>
  <si>
    <t>剩餘天數</t>
  </si>
  <si>
    <t>週會是否顯示</t>
  </si>
  <si>
    <t>需求分析</t>
  </si>
  <si>
    <t>欄位定義</t>
  </si>
  <si>
    <t>Brand/Steven/Jack</t>
  </si>
  <si>
    <t>完成</t>
  </si>
  <si>
    <t>Buyer 欄位待確認</t>
  </si>
  <si>
    <t>已完成 MVA 品項欄位第一版</t>
  </si>
  <si>
    <t>等待 Jack 填入剩餘分類，完成後與需求單位確認</t>
  </si>
  <si>
    <t>無</t>
  </si>
  <si>
    <t>Y</t>
  </si>
  <si>
    <t>Campus IT 需求確認</t>
  </si>
  <si>
    <t>Brand</t>
  </si>
  <si>
    <t>進行中</t>
  </si>
  <si>
    <t>分類大致完成，需確認 Lockdown Lv1-Lv3；前端權限頁需與角色定義表對齊</t>
  </si>
  <si>
    <t>已完成原始資料品名清洗、FTV 分類、月份清洗</t>
  </si>
  <si>
    <t>完成 Lv1-Lv3、FTV code、前端權限需求確認</t>
  </si>
  <si>
    <t>需 Jack/需求單位確認分類與角色</t>
  </si>
  <si>
    <t>資料清洗</t>
  </si>
  <si>
    <t>原始資料清洗</t>
  </si>
  <si>
    <t>品名格式不一致、分類規則需確認</t>
  </si>
  <si>
    <t>已完成部分品名、月份與分類欄位清洗</t>
  </si>
  <si>
    <t>建立標準清洗規則並抽樣驗證</t>
  </si>
  <si>
    <t>需確認分類規則最終版本</t>
  </si>
  <si>
    <t>分類規則確認</t>
  </si>
  <si>
    <t>Lv1-Lv3、FTV code、MVA/REB 分類需鎖定</t>
  </si>
  <si>
    <t>已整理分類方向</t>
  </si>
  <si>
    <t>與需求單位確認分類表並鎖定規則</t>
  </si>
  <si>
    <t>需需求單位回覆</t>
  </si>
  <si>
    <t>前端架構</t>
  </si>
  <si>
    <t>前端頁面 Lockdown</t>
  </si>
  <si>
    <t>規劃中</t>
  </si>
  <si>
    <t>與 Campus IT 確認頁面功能，功能定義需持續跟進</t>
  </si>
  <si>
    <t>已初步確認頁面</t>
  </si>
  <si>
    <t>完成前端頁面與操作流程定版</t>
  </si>
  <si>
    <t>需要與 IT/需求單位拉會議</t>
  </si>
  <si>
    <t>欄位討論</t>
  </si>
  <si>
    <t>需確認 ECS、PAS、DB 欄位是否一致</t>
  </si>
  <si>
    <t>已列出主要欄位需求</t>
  </si>
  <si>
    <t>完成欄位必填、唯讀、查詢條件定義</t>
  </si>
  <si>
    <t>需 IT 確認欄位來源</t>
  </si>
  <si>
    <t>按鈕與權限討論</t>
  </si>
  <si>
    <t>不同使用者在不同頁面的按鈕需明確定義</t>
  </si>
  <si>
    <t>已初步列出新增、修改、刪除、審核、拒絕等權限</t>
  </si>
  <si>
    <t>完成角色權限矩陣</t>
  </si>
  <si>
    <t>需確認角色清單</t>
  </si>
  <si>
    <t>資料庫對接</t>
  </si>
  <si>
    <t>PAS 系統耦合欄位試串</t>
  </si>
  <si>
    <t>PAS 欄位格式與資料來源需 IT 確認</t>
  </si>
  <si>
    <t>尚未開始</t>
  </si>
  <si>
    <t>確認 PAS 欄位對應與測試資料</t>
  </si>
  <si>
    <t>需 IT 提供欄位格式</t>
  </si>
  <si>
    <t>ECS 系統耦合欄位試串</t>
  </si>
  <si>
    <t>ECS 欄位格式與資料來源需 IT 確認</t>
  </si>
  <si>
    <t>確認 ECS 欄位對應與測試資料</t>
  </si>
  <si>
    <t>MVA DB 接入前端</t>
  </si>
  <si>
    <t>清洗後資料需先確認資料庫格式</t>
  </si>
  <si>
    <t>MVA DB 導入 Pilot run QA 內部測試</t>
  </si>
  <si>
    <t>需資料庫表結構確認</t>
  </si>
  <si>
    <t>REB DB 接入前端</t>
  </si>
  <si>
    <t>REB 分類與欄位需與 MVA 規則一致</t>
  </si>
  <si>
    <t>REB DB 導入 Pilot run QA 內部測試</t>
  </si>
  <si>
    <t>測試驗證</t>
  </si>
  <si>
    <t>說明文件準備</t>
  </si>
  <si>
    <t>Steven/Jack</t>
  </si>
  <si>
    <t>使用者操作流程需等前端定版</t>
  </si>
  <si>
    <t>準備使用者操作說明與 QA 測試腳本</t>
  </si>
  <si>
    <t>經理系統使用者 QA 內測 V1</t>
  </si>
  <si>
    <t>需 DB + Frontend 串接完成</t>
  </si>
  <si>
    <t>使用者內測</t>
  </si>
  <si>
    <t>需測試帳號與測試資料</t>
  </si>
  <si>
    <t>採購系統使用者 QA 內測 V1</t>
  </si>
  <si>
    <t>採購情境需涵蓋查詢、新增、修改、審核</t>
  </si>
  <si>
    <t>需採購測試案例</t>
  </si>
  <si>
    <t>工程單位使用者 QA 內測 V1</t>
  </si>
  <si>
    <t>工程單位查詢與權限需確認</t>
  </si>
  <si>
    <t>需工程單位測試案例</t>
  </si>
  <si>
    <t>結合使用者反饋系統更新 V2</t>
  </si>
  <si>
    <t>需預留修改時間</t>
  </si>
  <si>
    <t>彙整使用者反饋並改善系統</t>
  </si>
  <si>
    <t>需使用者回饋彙整</t>
  </si>
  <si>
    <t>上線導入</t>
  </si>
  <si>
    <t>MVA 系統導入</t>
  </si>
  <si>
    <t>需確認 Pilot run 結果穩定</t>
  </si>
  <si>
    <t>正式導入</t>
  </si>
  <si>
    <t>需主管確認上線時程</t>
  </si>
  <si>
    <t>REB 系統導入</t>
  </si>
  <si>
    <t>需確認 MVA 導入問題是否影響 REB</t>
  </si>
  <si>
    <t>驗收</t>
  </si>
  <si>
    <t>系統驗收</t>
  </si>
  <si>
    <t>需確認需求、資料、前端、DB 均完成驗證</t>
  </si>
  <si>
    <t>完成驗收與結案資料</t>
  </si>
  <si>
    <t>需需求單位與 IT 簽核</t>
  </si>
  <si>
    <t>採購系統建置 Dashboard</t>
  </si>
  <si>
    <t>目前總進度建議</t>
  </si>
  <si>
    <t>38%</t>
  </si>
  <si>
    <t>工作項目總數</t>
  </si>
  <si>
    <t>已完成</t>
  </si>
  <si>
    <t>延誤項目</t>
  </si>
  <si>
    <t>週會摘要建議</t>
  </si>
  <si>
    <t>目前已完成欄位定義初版，Campus IT 需求確認、資料清洗與分類規則確認同步進行中。下一步聚焦 Lv1-Lv3/FTV code 鎖定、前端頁面 Lockdown、欄位必填/唯讀/查詢條件確認，並為 6 月 PAS/ECS 欄位試串與資料庫對接做準備。</t>
  </si>
  <si>
    <t>主線流程</t>
  </si>
  <si>
    <t>資料清洗 -&gt; 前端架構 -&gt; 資料庫對接 -&gt; QA 內測 -&gt; 使用者反饋更新 -&gt; MVA/REB 導入 -&gt; 驗收</t>
  </si>
  <si>
    <t>填寫說明</t>
  </si>
  <si>
    <t>以實際完成度填寫，完成項目填 100，尚未開始填 0。</t>
  </si>
  <si>
    <t>使用下拉選單：完成、進行中、規劃中、測試、上線、延誤。</t>
  </si>
  <si>
    <t>公式依結束日與 TODAY() 自動判斷；完成項目固定顯示正常。</t>
  </si>
  <si>
    <t>公式為結束日 - TODAY()，會隨開檔日期變動。</t>
  </si>
  <si>
    <t>Y 代表 Dashboard 或週會追蹤時建議顯示；N 可暫時隱藏。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</si>
</sst>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13">
    <font>
      <sz val="11"/>
      <color theme="1"/>
      <name val="新細明體"/>
      <family val="2"/>
      <scheme val="minor"/>
    </font>
    <font>
      <b/>
      <sz val="18"/>
      <color rgb="FFFFFFFF"/>
      <name val="Arial"/>
    </font>
    <font>
      <sz val="10"/>
      <color rgb="FF404040"/>
      <name val="Arial"/>
    </font>
    <font>
      <b/>
      <sz val="11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1"/>
      <color rgb="FF1F4E78"/>
      <name val="Arial"/>
    </font>
    <font>
      <b/>
      <sz val="11"/>
      <color rgb="FF000000"/>
      <name val="Arial"/>
    </font>
    <font>
      <b/>
      <sz val="13"/>
      <color rgb="FF1F4E78"/>
      <name val="Arial"/>
    </font>
    <font>
      <sz val="11"/>
      <color rgb="FF0000FF"/>
      <name val="Arial"/>
    </font>
    <font>
      <b/>
      <sz val="16"/>
      <color rgb="FF1F4E78"/>
      <name val="Arial"/>
    </font>
    <font>
      <sz val="11"/>
      <color rgb="FF000000"/>
      <name val="Arial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3556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77" fontId="4" fillId="0" borderId="1" xfId="0" applyNumberFormat="1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6" fillId="3" borderId="1" xfId="0" applyFont="1" applyFill="1" applyBorder="1"/>
    <xf numFmtId="0" fontId="7" fillId="5" borderId="1" xfId="0" applyFont="1" applyFill="1" applyBorder="1"/>
    <xf numFmtId="0" fontId="8" fillId="0" borderId="0" xfId="0" applyFont="1"/>
    <xf numFmtId="0" fontId="10" fillId="0" borderId="0" xfId="0" applyFont="1"/>
    <xf numFmtId="0" fontId="6" fillId="0" borderId="1" xfId="0" applyFont="1" applyBorder="1"/>
    <xf numFmtId="0" fontId="11" fillId="0" borderId="1" xfId="0" applyFont="1" applyBorder="1" applyAlignment="1">
      <alignment wrapText="1"/>
    </xf>
    <xf numFmtId="0" fontId="2" fillId="3" borderId="0" xfId="0" applyFont="1" applyFill="1" applyAlignment="1">
      <alignment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9" fillId="0" borderId="0" xfId="0" applyFont="1"/>
  </cellXfs>
  <cellStyles count="1">
    <cellStyle name="一般" xfId="0" builtinId="0"/>
  </cellStyles>
  <dxfs count="5">
    <dxf>
      <font>
        <color rgb="FF990000"/>
      </font>
      <fill>
        <patternFill patternType="solid">
          <fgColor rgb="FFF4CCCC"/>
        </patternFill>
      </fill>
    </dxf>
    <dxf>
      <font>
        <color rgb="FF1F4E78"/>
      </font>
      <fill>
        <patternFill patternType="solid">
          <fgColor rgb="FFD9EAF7"/>
        </patternFill>
      </fill>
    </dxf>
    <dxf>
      <font>
        <color rgb="FF9C6500"/>
      </font>
      <fill>
        <patternFill patternType="solid">
          <fgColor rgb="FFFFF2CC"/>
        </patternFill>
      </fill>
    </dxf>
    <dxf>
      <font>
        <color rgb="FF006100"/>
      </font>
      <fill>
        <patternFill patternType="solid">
          <fgColor rgb="FFC6EFCE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zoomScale="211" workbookViewId="0">
      <pane ySplit="3" topLeftCell="A4" activePane="bottomLeft" state="frozen"/>
      <selection pane="bottomLeft" activeCell="O7" sqref="O7"/>
    </sheetView>
  </sheetViews>
  <sheetFormatPr baseColWidth="10" defaultColWidth="9" defaultRowHeight="14"/>
  <cols>
    <col min="1" max="1" width="18" customWidth="1"/>
    <col min="2" max="2" width="28" customWidth="1"/>
    <col min="3" max="3" width="22" customWidth="1"/>
    <col min="4" max="5" width="12" customWidth="1"/>
    <col min="6" max="6" width="9" customWidth="1"/>
    <col min="7" max="7" width="10" customWidth="1"/>
    <col min="8" max="8" width="34" customWidth="1"/>
    <col min="9" max="10" width="32" customWidth="1"/>
    <col min="11" max="11" width="30" customWidth="1"/>
    <col min="12" max="13" width="10" customWidth="1"/>
    <col min="14" max="14" width="12" customWidth="1"/>
  </cols>
  <sheetData>
    <row r="1" spans="1:14" ht="32" customHeight="1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ht="30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48" customHeight="1">
      <c r="A4" s="2" t="s">
        <v>16</v>
      </c>
      <c r="B4" s="2" t="s">
        <v>17</v>
      </c>
      <c r="C4" s="2" t="s">
        <v>18</v>
      </c>
      <c r="D4" s="3">
        <v>46112</v>
      </c>
      <c r="E4" s="3">
        <v>46120</v>
      </c>
      <c r="F4" s="4">
        <v>100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5" t="str">
        <f t="shared" ref="L4:L22" ca="1" si="0">IF(G4="完成","正常",IF(E4&lt;TODAY(),"延誤","正常"))</f>
        <v>正常</v>
      </c>
      <c r="M4" s="5">
        <f t="shared" ref="M4:M22" ca="1" si="1">E4-TODAY()</f>
        <v>-16</v>
      </c>
      <c r="N4" s="5" t="s">
        <v>24</v>
      </c>
    </row>
    <row r="5" spans="1:14" ht="48" customHeight="1">
      <c r="A5" s="2" t="s">
        <v>16</v>
      </c>
      <c r="B5" s="2" t="s">
        <v>25</v>
      </c>
      <c r="C5" s="2" t="s">
        <v>26</v>
      </c>
      <c r="D5" s="3">
        <v>46135</v>
      </c>
      <c r="E5" s="3">
        <v>46152</v>
      </c>
      <c r="F5" s="4">
        <v>30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5" t="str">
        <f t="shared" ca="1" si="0"/>
        <v>正常</v>
      </c>
      <c r="M5" s="5">
        <f t="shared" ca="1" si="1"/>
        <v>16</v>
      </c>
      <c r="N5" s="5" t="s">
        <v>24</v>
      </c>
    </row>
    <row r="6" spans="1:14" ht="48" customHeight="1">
      <c r="A6" s="2" t="s">
        <v>32</v>
      </c>
      <c r="B6" s="2" t="s">
        <v>33</v>
      </c>
      <c r="C6" s="2" t="s">
        <v>18</v>
      </c>
      <c r="D6" s="3">
        <v>46135</v>
      </c>
      <c r="E6" s="3">
        <v>46159</v>
      </c>
      <c r="F6" s="4">
        <v>40</v>
      </c>
      <c r="G6" s="2" t="s">
        <v>27</v>
      </c>
      <c r="H6" s="2" t="s">
        <v>34</v>
      </c>
      <c r="I6" s="2" t="s">
        <v>35</v>
      </c>
      <c r="J6" s="2" t="s">
        <v>36</v>
      </c>
      <c r="K6" s="2" t="s">
        <v>37</v>
      </c>
      <c r="L6" s="5" t="str">
        <f t="shared" ca="1" si="0"/>
        <v>正常</v>
      </c>
      <c r="M6" s="5">
        <f t="shared" ca="1" si="1"/>
        <v>23</v>
      </c>
      <c r="N6" s="5" t="s">
        <v>24</v>
      </c>
    </row>
    <row r="7" spans="1:14" ht="48" customHeight="1">
      <c r="A7" s="2" t="s">
        <v>32</v>
      </c>
      <c r="B7" s="2" t="s">
        <v>38</v>
      </c>
      <c r="C7" s="2" t="s">
        <v>18</v>
      </c>
      <c r="D7" s="3">
        <v>46148</v>
      </c>
      <c r="E7" s="3">
        <v>46166</v>
      </c>
      <c r="F7" s="4">
        <v>20</v>
      </c>
      <c r="G7" s="2" t="s">
        <v>27</v>
      </c>
      <c r="H7" s="2" t="s">
        <v>39</v>
      </c>
      <c r="I7" s="2" t="s">
        <v>40</v>
      </c>
      <c r="J7" s="2" t="s">
        <v>41</v>
      </c>
      <c r="K7" s="2" t="s">
        <v>42</v>
      </c>
      <c r="L7" s="5" t="str">
        <f t="shared" ca="1" si="0"/>
        <v>正常</v>
      </c>
      <c r="M7" s="5">
        <f t="shared" ca="1" si="1"/>
        <v>30</v>
      </c>
      <c r="N7" s="5" t="s">
        <v>24</v>
      </c>
    </row>
    <row r="8" spans="1:14" ht="48" customHeight="1">
      <c r="A8" s="2" t="s">
        <v>43</v>
      </c>
      <c r="B8" s="2" t="s">
        <v>44</v>
      </c>
      <c r="C8" s="2" t="s">
        <v>18</v>
      </c>
      <c r="D8" s="3">
        <v>46155</v>
      </c>
      <c r="E8" s="3">
        <v>46174</v>
      </c>
      <c r="F8" s="4">
        <v>10</v>
      </c>
      <c r="G8" s="2" t="s">
        <v>45</v>
      </c>
      <c r="H8" s="2" t="s">
        <v>46</v>
      </c>
      <c r="I8" s="2" t="s">
        <v>47</v>
      </c>
      <c r="J8" s="2" t="s">
        <v>48</v>
      </c>
      <c r="K8" s="2" t="s">
        <v>49</v>
      </c>
      <c r="L8" s="5" t="str">
        <f t="shared" ca="1" si="0"/>
        <v>正常</v>
      </c>
      <c r="M8" s="5">
        <f t="shared" ca="1" si="1"/>
        <v>38</v>
      </c>
      <c r="N8" s="5" t="s">
        <v>24</v>
      </c>
    </row>
    <row r="9" spans="1:14" ht="48" customHeight="1">
      <c r="A9" s="2" t="s">
        <v>43</v>
      </c>
      <c r="B9" s="2" t="s">
        <v>50</v>
      </c>
      <c r="C9" s="2" t="s">
        <v>18</v>
      </c>
      <c r="D9" s="3">
        <v>46155</v>
      </c>
      <c r="E9" s="3">
        <v>46166</v>
      </c>
      <c r="F9" s="4">
        <v>10</v>
      </c>
      <c r="G9" s="2" t="s">
        <v>45</v>
      </c>
      <c r="H9" s="2" t="s">
        <v>51</v>
      </c>
      <c r="I9" s="2" t="s">
        <v>52</v>
      </c>
      <c r="J9" s="2" t="s">
        <v>53</v>
      </c>
      <c r="K9" s="2" t="s">
        <v>54</v>
      </c>
      <c r="L9" s="5" t="str">
        <f t="shared" ca="1" si="0"/>
        <v>正常</v>
      </c>
      <c r="M9" s="5">
        <f t="shared" ca="1" si="1"/>
        <v>30</v>
      </c>
      <c r="N9" s="5" t="s">
        <v>24</v>
      </c>
    </row>
    <row r="10" spans="1:14" ht="48" customHeight="1">
      <c r="A10" s="2" t="s">
        <v>43</v>
      </c>
      <c r="B10" s="2" t="s">
        <v>55</v>
      </c>
      <c r="C10" s="2" t="s">
        <v>18</v>
      </c>
      <c r="D10" s="3">
        <v>46162</v>
      </c>
      <c r="E10" s="3">
        <v>46173</v>
      </c>
      <c r="F10" s="4">
        <v>0</v>
      </c>
      <c r="G10" s="2" t="s">
        <v>45</v>
      </c>
      <c r="H10" s="2" t="s">
        <v>56</v>
      </c>
      <c r="I10" s="2" t="s">
        <v>57</v>
      </c>
      <c r="J10" s="2" t="s">
        <v>58</v>
      </c>
      <c r="K10" s="2" t="s">
        <v>59</v>
      </c>
      <c r="L10" s="5" t="str">
        <f t="shared" ca="1" si="0"/>
        <v>正常</v>
      </c>
      <c r="M10" s="5">
        <f t="shared" ca="1" si="1"/>
        <v>37</v>
      </c>
      <c r="N10" s="5" t="s">
        <v>24</v>
      </c>
    </row>
    <row r="11" spans="1:14" ht="48" customHeight="1">
      <c r="A11" s="2" t="s">
        <v>60</v>
      </c>
      <c r="B11" s="2" t="s">
        <v>61</v>
      </c>
      <c r="C11" s="2" t="s">
        <v>18</v>
      </c>
      <c r="D11" s="3">
        <v>46176</v>
      </c>
      <c r="E11" s="3">
        <v>46187</v>
      </c>
      <c r="F11" s="4">
        <v>0</v>
      </c>
      <c r="G11" s="2" t="s">
        <v>45</v>
      </c>
      <c r="H11" s="2" t="s">
        <v>62</v>
      </c>
      <c r="I11" s="2" t="s">
        <v>63</v>
      </c>
      <c r="J11" s="2" t="s">
        <v>64</v>
      </c>
      <c r="K11" s="2" t="s">
        <v>65</v>
      </c>
      <c r="L11" s="5" t="str">
        <f t="shared" ca="1" si="0"/>
        <v>正常</v>
      </c>
      <c r="M11" s="5">
        <f t="shared" ca="1" si="1"/>
        <v>51</v>
      </c>
      <c r="N11" s="5" t="s">
        <v>24</v>
      </c>
    </row>
    <row r="12" spans="1:14" ht="48" customHeight="1">
      <c r="A12" s="2" t="s">
        <v>60</v>
      </c>
      <c r="B12" s="2" t="s">
        <v>66</v>
      </c>
      <c r="C12" s="2" t="s">
        <v>18</v>
      </c>
      <c r="D12" s="3">
        <v>46183</v>
      </c>
      <c r="E12" s="3">
        <v>46194</v>
      </c>
      <c r="F12" s="4">
        <v>0</v>
      </c>
      <c r="G12" s="2" t="s">
        <v>45</v>
      </c>
      <c r="H12" s="2" t="s">
        <v>67</v>
      </c>
      <c r="I12" s="2" t="s">
        <v>63</v>
      </c>
      <c r="J12" s="2" t="s">
        <v>68</v>
      </c>
      <c r="K12" s="2" t="s">
        <v>65</v>
      </c>
      <c r="L12" s="5" t="str">
        <f t="shared" ca="1" si="0"/>
        <v>正常</v>
      </c>
      <c r="M12" s="5">
        <f t="shared" ca="1" si="1"/>
        <v>58</v>
      </c>
      <c r="N12" s="5" t="s">
        <v>24</v>
      </c>
    </row>
    <row r="13" spans="1:14" ht="48" customHeight="1">
      <c r="A13" s="2" t="s">
        <v>60</v>
      </c>
      <c r="B13" s="2" t="s">
        <v>69</v>
      </c>
      <c r="C13" s="2" t="s">
        <v>18</v>
      </c>
      <c r="D13" s="3">
        <v>46197</v>
      </c>
      <c r="E13" s="3">
        <v>46215</v>
      </c>
      <c r="F13" s="4">
        <v>0</v>
      </c>
      <c r="G13" s="2" t="s">
        <v>45</v>
      </c>
      <c r="H13" s="2" t="s">
        <v>70</v>
      </c>
      <c r="I13" s="2" t="s">
        <v>63</v>
      </c>
      <c r="J13" s="2" t="s">
        <v>71</v>
      </c>
      <c r="K13" s="2" t="s">
        <v>72</v>
      </c>
      <c r="L13" s="5" t="str">
        <f t="shared" ca="1" si="0"/>
        <v>正常</v>
      </c>
      <c r="M13" s="5">
        <f t="shared" ca="1" si="1"/>
        <v>79</v>
      </c>
      <c r="N13" s="5" t="s">
        <v>24</v>
      </c>
    </row>
    <row r="14" spans="1:14" ht="48" customHeight="1">
      <c r="A14" s="2" t="s">
        <v>60</v>
      </c>
      <c r="B14" s="2" t="s">
        <v>73</v>
      </c>
      <c r="C14" s="2" t="s">
        <v>18</v>
      </c>
      <c r="D14" s="3">
        <v>46211</v>
      </c>
      <c r="E14" s="3">
        <v>46229</v>
      </c>
      <c r="F14" s="4">
        <v>0</v>
      </c>
      <c r="G14" s="2" t="s">
        <v>45</v>
      </c>
      <c r="H14" s="2" t="s">
        <v>74</v>
      </c>
      <c r="I14" s="2" t="s">
        <v>63</v>
      </c>
      <c r="J14" s="2" t="s">
        <v>75</v>
      </c>
      <c r="K14" s="2" t="s">
        <v>72</v>
      </c>
      <c r="L14" s="5" t="str">
        <f t="shared" ca="1" si="0"/>
        <v>正常</v>
      </c>
      <c r="M14" s="5">
        <f t="shared" ca="1" si="1"/>
        <v>93</v>
      </c>
      <c r="N14" s="5" t="s">
        <v>24</v>
      </c>
    </row>
    <row r="15" spans="1:14" ht="48" customHeight="1">
      <c r="A15" s="2" t="s">
        <v>76</v>
      </c>
      <c r="B15" s="2" t="s">
        <v>77</v>
      </c>
      <c r="C15" s="2" t="s">
        <v>78</v>
      </c>
      <c r="D15" s="3">
        <v>46218</v>
      </c>
      <c r="E15" s="3">
        <v>46234</v>
      </c>
      <c r="F15" s="4">
        <v>0</v>
      </c>
      <c r="G15" s="2" t="s">
        <v>45</v>
      </c>
      <c r="H15" s="2" t="s">
        <v>79</v>
      </c>
      <c r="I15" s="2" t="s">
        <v>63</v>
      </c>
      <c r="J15" s="2" t="s">
        <v>80</v>
      </c>
      <c r="K15" s="2" t="s">
        <v>23</v>
      </c>
      <c r="L15" s="5" t="str">
        <f t="shared" ca="1" si="0"/>
        <v>正常</v>
      </c>
      <c r="M15" s="5">
        <f t="shared" ca="1" si="1"/>
        <v>98</v>
      </c>
      <c r="N15" s="5" t="s">
        <v>24</v>
      </c>
    </row>
    <row r="16" spans="1:14" ht="48" customHeight="1">
      <c r="A16" s="2" t="s">
        <v>76</v>
      </c>
      <c r="B16" s="2" t="s">
        <v>81</v>
      </c>
      <c r="C16" s="2" t="s">
        <v>78</v>
      </c>
      <c r="D16" s="3">
        <v>46235</v>
      </c>
      <c r="E16" s="3">
        <v>46243</v>
      </c>
      <c r="F16" s="4">
        <v>0</v>
      </c>
      <c r="G16" s="2" t="s">
        <v>45</v>
      </c>
      <c r="H16" s="2" t="s">
        <v>82</v>
      </c>
      <c r="I16" s="2" t="s">
        <v>63</v>
      </c>
      <c r="J16" s="2" t="s">
        <v>83</v>
      </c>
      <c r="K16" s="2" t="s">
        <v>84</v>
      </c>
      <c r="L16" s="5" t="str">
        <f t="shared" ca="1" si="0"/>
        <v>正常</v>
      </c>
      <c r="M16" s="5">
        <f t="shared" ca="1" si="1"/>
        <v>107</v>
      </c>
      <c r="N16" s="5" t="s">
        <v>24</v>
      </c>
    </row>
    <row r="17" spans="1:14" ht="48" customHeight="1">
      <c r="A17" s="2" t="s">
        <v>76</v>
      </c>
      <c r="B17" s="2" t="s">
        <v>85</v>
      </c>
      <c r="C17" s="2" t="s">
        <v>78</v>
      </c>
      <c r="D17" s="3">
        <v>46242</v>
      </c>
      <c r="E17" s="3">
        <v>46250</v>
      </c>
      <c r="F17" s="4">
        <v>0</v>
      </c>
      <c r="G17" s="2" t="s">
        <v>45</v>
      </c>
      <c r="H17" s="2" t="s">
        <v>86</v>
      </c>
      <c r="I17" s="2" t="s">
        <v>63</v>
      </c>
      <c r="J17" s="2" t="s">
        <v>83</v>
      </c>
      <c r="K17" s="2" t="s">
        <v>87</v>
      </c>
      <c r="L17" s="5" t="str">
        <f t="shared" ca="1" si="0"/>
        <v>正常</v>
      </c>
      <c r="M17" s="5">
        <f t="shared" ca="1" si="1"/>
        <v>114</v>
      </c>
      <c r="N17" s="5" t="s">
        <v>24</v>
      </c>
    </row>
    <row r="18" spans="1:14" ht="48" customHeight="1">
      <c r="A18" s="2" t="s">
        <v>76</v>
      </c>
      <c r="B18" s="2" t="s">
        <v>88</v>
      </c>
      <c r="C18" s="2" t="s">
        <v>78</v>
      </c>
      <c r="D18" s="3">
        <v>46249</v>
      </c>
      <c r="E18" s="3">
        <v>46257</v>
      </c>
      <c r="F18" s="4">
        <v>0</v>
      </c>
      <c r="G18" s="2" t="s">
        <v>45</v>
      </c>
      <c r="H18" s="2" t="s">
        <v>89</v>
      </c>
      <c r="I18" s="2" t="s">
        <v>63</v>
      </c>
      <c r="J18" s="2" t="s">
        <v>83</v>
      </c>
      <c r="K18" s="2" t="s">
        <v>90</v>
      </c>
      <c r="L18" s="5" t="str">
        <f t="shared" ca="1" si="0"/>
        <v>正常</v>
      </c>
      <c r="M18" s="5">
        <f t="shared" ca="1" si="1"/>
        <v>121</v>
      </c>
      <c r="N18" s="5" t="s">
        <v>24</v>
      </c>
    </row>
    <row r="19" spans="1:14" ht="48" customHeight="1">
      <c r="A19" s="2" t="s">
        <v>76</v>
      </c>
      <c r="B19" s="2" t="s">
        <v>91</v>
      </c>
      <c r="C19" s="2" t="s">
        <v>18</v>
      </c>
      <c r="D19" s="3">
        <v>46258</v>
      </c>
      <c r="E19" s="3">
        <v>46271</v>
      </c>
      <c r="F19" s="4">
        <v>0</v>
      </c>
      <c r="G19" s="2" t="s">
        <v>45</v>
      </c>
      <c r="H19" s="2" t="s">
        <v>92</v>
      </c>
      <c r="I19" s="2" t="s">
        <v>63</v>
      </c>
      <c r="J19" s="2" t="s">
        <v>93</v>
      </c>
      <c r="K19" s="2" t="s">
        <v>94</v>
      </c>
      <c r="L19" s="5" t="str">
        <f t="shared" ca="1" si="0"/>
        <v>正常</v>
      </c>
      <c r="M19" s="5">
        <f t="shared" ca="1" si="1"/>
        <v>135</v>
      </c>
      <c r="N19" s="5" t="s">
        <v>24</v>
      </c>
    </row>
    <row r="20" spans="1:14" ht="48" customHeight="1">
      <c r="A20" s="2" t="s">
        <v>95</v>
      </c>
      <c r="B20" s="2" t="s">
        <v>96</v>
      </c>
      <c r="C20" s="2" t="s">
        <v>78</v>
      </c>
      <c r="D20" s="3">
        <v>46272</v>
      </c>
      <c r="E20" s="3">
        <v>46278</v>
      </c>
      <c r="F20" s="4">
        <v>0</v>
      </c>
      <c r="G20" s="2" t="s">
        <v>45</v>
      </c>
      <c r="H20" s="2" t="s">
        <v>97</v>
      </c>
      <c r="I20" s="2" t="s">
        <v>63</v>
      </c>
      <c r="J20" s="2" t="s">
        <v>98</v>
      </c>
      <c r="K20" s="2" t="s">
        <v>99</v>
      </c>
      <c r="L20" s="5" t="str">
        <f t="shared" ca="1" si="0"/>
        <v>正常</v>
      </c>
      <c r="M20" s="5">
        <f t="shared" ca="1" si="1"/>
        <v>142</v>
      </c>
      <c r="N20" s="5" t="s">
        <v>24</v>
      </c>
    </row>
    <row r="21" spans="1:14" ht="48" customHeight="1">
      <c r="A21" s="2" t="s">
        <v>95</v>
      </c>
      <c r="B21" s="2" t="s">
        <v>100</v>
      </c>
      <c r="C21" s="2" t="s">
        <v>78</v>
      </c>
      <c r="D21" s="3">
        <v>46279</v>
      </c>
      <c r="E21" s="3">
        <v>46285</v>
      </c>
      <c r="F21" s="4">
        <v>0</v>
      </c>
      <c r="G21" s="2" t="s">
        <v>45</v>
      </c>
      <c r="H21" s="2" t="s">
        <v>101</v>
      </c>
      <c r="I21" s="2" t="s">
        <v>63</v>
      </c>
      <c r="J21" s="2" t="s">
        <v>98</v>
      </c>
      <c r="K21" s="2" t="s">
        <v>99</v>
      </c>
      <c r="L21" s="5" t="str">
        <f t="shared" ca="1" si="0"/>
        <v>正常</v>
      </c>
      <c r="M21" s="5">
        <f t="shared" ca="1" si="1"/>
        <v>149</v>
      </c>
      <c r="N21" s="5" t="s">
        <v>24</v>
      </c>
    </row>
    <row r="22" spans="1:14" ht="48" customHeight="1">
      <c r="A22" s="2" t="s">
        <v>102</v>
      </c>
      <c r="B22" s="2" t="s">
        <v>103</v>
      </c>
      <c r="C22" s="2" t="s">
        <v>18</v>
      </c>
      <c r="D22" s="3">
        <v>46286</v>
      </c>
      <c r="E22" s="3">
        <v>46295</v>
      </c>
      <c r="F22" s="4">
        <v>0</v>
      </c>
      <c r="G22" s="2" t="s">
        <v>45</v>
      </c>
      <c r="H22" s="2" t="s">
        <v>104</v>
      </c>
      <c r="I22" s="2" t="s">
        <v>63</v>
      </c>
      <c r="J22" s="2" t="s">
        <v>105</v>
      </c>
      <c r="K22" s="2" t="s">
        <v>106</v>
      </c>
      <c r="L22" s="5" t="str">
        <f t="shared" ca="1" si="0"/>
        <v>正常</v>
      </c>
      <c r="M22" s="5">
        <f t="shared" ca="1" si="1"/>
        <v>159</v>
      </c>
      <c r="N22" s="5" t="s">
        <v>24</v>
      </c>
    </row>
  </sheetData>
  <autoFilter ref="A3:N22" xr:uid="{00000000-0009-0000-0000-000000000000}"/>
  <mergeCells count="2">
    <mergeCell ref="A2:N2"/>
    <mergeCell ref="A1:N1"/>
  </mergeCells>
  <phoneticPr fontId="12" type="noConversion"/>
  <conditionalFormatting sqref="F4:F22">
    <cfRule type="cellIs" dxfId="4" priority="5" operator="greaterThanOrEqual">
      <formula>100</formula>
    </cfRule>
  </conditionalFormatting>
  <conditionalFormatting sqref="G4:G22">
    <cfRule type="expression" dxfId="3" priority="1">
      <formula>G4="完成"</formula>
    </cfRule>
    <cfRule type="expression" dxfId="2" priority="2">
      <formula>G4="進行中"</formula>
    </cfRule>
    <cfRule type="expression" dxfId="1" priority="3">
      <formula>G4="規劃中"</formula>
    </cfRule>
  </conditionalFormatting>
  <conditionalFormatting sqref="L4:L22">
    <cfRule type="expression" dxfId="0" priority="4">
      <formula>L4="延誤"</formula>
    </cfRule>
  </conditionalFormatting>
  <dataValidations disablePrompts="1" count="2">
    <dataValidation type="list" sqref="G4:G22" xr:uid="{00000000-0002-0000-0000-000000000000}">
      <formula1>"完成,進行中,規劃中,測試,上線,延誤"</formula1>
    </dataValidation>
    <dataValidation type="list" sqref="N4:N22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9" defaultRowHeight="14"/>
  <cols>
    <col min="1" max="6" width="22" customWidth="1"/>
  </cols>
  <sheetData>
    <row r="1" spans="1:6" ht="30" customHeight="1">
      <c r="A1" s="15" t="s">
        <v>107</v>
      </c>
      <c r="B1" s="13"/>
      <c r="C1" s="13"/>
      <c r="D1" s="13"/>
      <c r="E1" s="13"/>
      <c r="F1" s="13"/>
    </row>
    <row r="3" spans="1:6">
      <c r="A3" s="6" t="s">
        <v>108</v>
      </c>
      <c r="B3" s="7" t="s">
        <v>109</v>
      </c>
    </row>
    <row r="4" spans="1:6">
      <c r="A4" s="6" t="s">
        <v>110</v>
      </c>
      <c r="B4" s="7">
        <f>COUNTA(採購系統時間表!A4:A100)</f>
        <v>19</v>
      </c>
    </row>
    <row r="5" spans="1:6">
      <c r="A5" s="6" t="s">
        <v>111</v>
      </c>
      <c r="B5" s="7">
        <f>COUNTIF(採購系統時間表!G4:G100,"完成")</f>
        <v>1</v>
      </c>
    </row>
    <row r="6" spans="1:6">
      <c r="A6" s="6" t="s">
        <v>27</v>
      </c>
      <c r="B6" s="7">
        <f>COUNTIF(採購系統時間表!G4:G100,"進行中")</f>
        <v>3</v>
      </c>
    </row>
    <row r="7" spans="1:6">
      <c r="A7" s="6" t="s">
        <v>45</v>
      </c>
      <c r="B7" s="7">
        <f>COUNTIF(採購系統時間表!G4:G100,"規劃中")</f>
        <v>15</v>
      </c>
    </row>
    <row r="8" spans="1:6">
      <c r="A8" s="6" t="s">
        <v>112</v>
      </c>
      <c r="B8" s="7">
        <f ca="1">COUNTIF(採購系統時間表!L4:L100,"延誤")</f>
        <v>0</v>
      </c>
    </row>
    <row r="11" spans="1:6" ht="17">
      <c r="A11" s="8" t="s">
        <v>113</v>
      </c>
    </row>
    <row r="12" spans="1:6">
      <c r="A12" s="16" t="s">
        <v>114</v>
      </c>
      <c r="B12" s="13"/>
      <c r="C12" s="13"/>
      <c r="D12" s="13"/>
      <c r="E12" s="13"/>
      <c r="F12" s="13"/>
    </row>
    <row r="13" spans="1:6">
      <c r="A13" s="13"/>
      <c r="B13" s="13"/>
      <c r="C13" s="13"/>
      <c r="D13" s="13"/>
      <c r="E13" s="13"/>
      <c r="F13" s="13"/>
    </row>
    <row r="14" spans="1:6">
      <c r="A14" s="13"/>
      <c r="B14" s="13"/>
      <c r="C14" s="13"/>
      <c r="D14" s="13"/>
      <c r="E14" s="13"/>
      <c r="F14" s="13"/>
    </row>
    <row r="15" spans="1:6">
      <c r="A15" s="13"/>
      <c r="B15" s="13"/>
      <c r="C15" s="13"/>
      <c r="D15" s="13"/>
      <c r="E15" s="13"/>
      <c r="F15" s="13"/>
    </row>
    <row r="17" spans="1:6" ht="17">
      <c r="A17" s="8" t="s">
        <v>115</v>
      </c>
    </row>
    <row r="18" spans="1:6">
      <c r="A18" s="17" t="s">
        <v>116</v>
      </c>
      <c r="B18" s="13"/>
      <c r="C18" s="13"/>
      <c r="D18" s="13"/>
      <c r="E18" s="13"/>
      <c r="F18" s="13"/>
    </row>
  </sheetData>
  <mergeCells count="3">
    <mergeCell ref="A1:F1"/>
    <mergeCell ref="A12:F15"/>
    <mergeCell ref="A18:F18"/>
  </mergeCells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" defaultRowHeight="14"/>
  <cols>
    <col min="1" max="1" width="18" customWidth="1"/>
    <col min="2" max="2" width="80" customWidth="1"/>
  </cols>
  <sheetData>
    <row r="1" spans="1:2" ht="20">
      <c r="A1" s="9" t="s">
        <v>117</v>
      </c>
    </row>
    <row r="3" spans="1:2" ht="15">
      <c r="A3" s="10" t="s">
        <v>7</v>
      </c>
      <c r="B3" s="11" t="s">
        <v>118</v>
      </c>
    </row>
    <row r="4" spans="1:2" ht="15">
      <c r="A4" s="10" t="s">
        <v>8</v>
      </c>
      <c r="B4" s="11" t="s">
        <v>119</v>
      </c>
    </row>
    <row r="5" spans="1:2" ht="15">
      <c r="A5" s="10" t="s">
        <v>13</v>
      </c>
      <c r="B5" s="11" t="s">
        <v>120</v>
      </c>
    </row>
    <row r="6" spans="1:2" ht="15">
      <c r="A6" s="10" t="s">
        <v>14</v>
      </c>
      <c r="B6" s="11" t="s">
        <v>121</v>
      </c>
    </row>
    <row r="7" spans="1:2" ht="15">
      <c r="A7" s="10" t="s">
        <v>15</v>
      </c>
      <c r="B7" s="11" t="s">
        <v>122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採購系統時間表</vt:lpstr>
      <vt:lpstr>Dashboard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楊 楷丞</cp:lastModifiedBy>
  <dcterms:created xsi:type="dcterms:W3CDTF">2026-04-24T03:43:11Z</dcterms:created>
  <dcterms:modified xsi:type="dcterms:W3CDTF">2026-04-24T04:20:57Z</dcterms:modified>
</cp:coreProperties>
</file>