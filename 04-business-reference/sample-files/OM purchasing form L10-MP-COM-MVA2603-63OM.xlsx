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V1531607\Documents\BIDDING\Robot Lab L10-MP-COM-MVA2603-63OM - Lần 3\"/>
    </mc:Choice>
  </mc:AlternateContent>
  <xr:revisionPtr revIDLastSave="0" documentId="13_ncr:1_{776EE152-EBAC-412E-9E93-E4B1F12BA750}" xr6:coauthVersionLast="36" xr6:coauthVersionMax="36" xr10:uidLastSave="{00000000-0000-0000-0000-000000000000}"/>
  <bookViews>
    <workbookView xWindow="0" yWindow="0" windowWidth="19200" windowHeight="8010" activeTab="1" xr2:uid="{00000000-000D-0000-FFFF-FFFF00000000}"/>
  </bookViews>
  <sheets>
    <sheet name="Project budget-summary table" sheetId="1" r:id="rId1"/>
    <sheet name="L10-MP-COM-MVA2603-63O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2" l="1"/>
  <c r="L4" i="2"/>
  <c r="M4" i="2" s="1"/>
  <c r="K5" i="2"/>
  <c r="L5" i="2"/>
  <c r="M5" i="2" s="1"/>
  <c r="K6" i="2"/>
  <c r="L6" i="2"/>
  <c r="M6" i="2" s="1"/>
  <c r="L3" i="2" l="1"/>
  <c r="K3" i="2" l="1"/>
  <c r="K7" i="2" s="1"/>
  <c r="M3" i="2"/>
  <c r="M7" i="2" s="1"/>
  <c r="D7" i="1" l="1"/>
  <c r="A1" i="1" l="1"/>
  <c r="B7" i="1" s="1"/>
  <c r="E7" i="1" l="1"/>
  <c r="E8" i="1" s="1"/>
  <c r="D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Currency traded with the manufacturer</t>
        </r>
      </text>
    </comment>
    <comment ref="E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Budget currency is fixed at USD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2" authorId="0" shapeId="0" xr:uid="{00000000-0006-0000-0100-000001000000}">
      <text>
        <r>
          <rPr>
            <b/>
            <sz val="9"/>
            <color indexed="81"/>
            <rFont val="細明體"/>
            <family val="3"/>
            <charset val="136"/>
          </rPr>
          <t>Currency traded with the manufacturer</t>
        </r>
      </text>
    </comment>
    <comment ref="M2" authorId="0" shapeId="0" xr:uid="{00000000-0006-0000-0100-000002000000}">
      <text>
        <r>
          <rPr>
            <b/>
            <sz val="9"/>
            <color indexed="81"/>
            <rFont val="細明體"/>
            <family val="3"/>
            <charset val="136"/>
          </rPr>
          <t>Budget currency is fixed at USD</t>
        </r>
      </text>
    </comment>
  </commentList>
</comments>
</file>

<file path=xl/sharedStrings.xml><?xml version="1.0" encoding="utf-8"?>
<sst xmlns="http://schemas.openxmlformats.org/spreadsheetml/2006/main" count="90" uniqueCount="58">
  <si>
    <t>部門代碼  
Department code</t>
    <phoneticPr fontId="0" type="noConversion"/>
  </si>
  <si>
    <t>申請日期
Date of Application</t>
    <phoneticPr fontId="0" type="noConversion"/>
  </si>
  <si>
    <t>申請人
Requestors</t>
    <phoneticPr fontId="0" type="noConversion"/>
  </si>
  <si>
    <t>聯系電話
contact number</t>
    <phoneticPr fontId="0" type="noConversion"/>
  </si>
  <si>
    <t>量产or 试产
Mass production &amp; NPI</t>
    <phoneticPr fontId="0" type="noConversion"/>
  </si>
  <si>
    <t>法人
Legal person</t>
    <phoneticPr fontId="0" type="noConversion"/>
  </si>
  <si>
    <t>富山
Fushan</t>
    <phoneticPr fontId="0" type="noConversion"/>
  </si>
  <si>
    <t>付费方式
Payment methods</t>
    <phoneticPr fontId="0" type="noConversion"/>
  </si>
  <si>
    <t>MVA</t>
  </si>
  <si>
    <t>幣別
Currency</t>
    <phoneticPr fontId="0" type="noConversion"/>
  </si>
  <si>
    <t>交易幣別  VND
Transaction currency</t>
  </si>
  <si>
    <t>預算幣別 USD
Budget currency</t>
  </si>
  <si>
    <t>月度预算代碼
Monthly budget code</t>
    <phoneticPr fontId="0" type="noConversion"/>
  </si>
  <si>
    <t>金額
Amount</t>
    <phoneticPr fontId="0" type="noConversion"/>
  </si>
  <si>
    <t>合     計：
total</t>
    <phoneticPr fontId="0" type="noConversion"/>
  </si>
  <si>
    <t xml:space="preserve">
承辦﹕
Requestors</t>
  </si>
  <si>
    <r>
      <t xml:space="preserve"> 核   准(BU):
</t>
    </r>
    <r>
      <rPr>
        <sz val="12"/>
        <rFont val="Times New Roman"/>
        <family val="1"/>
      </rPr>
      <t>BU head</t>
    </r>
  </si>
  <si>
    <r>
      <t>部门主管審核﹕
Department head</t>
    </r>
    <r>
      <rPr>
        <b/>
        <sz val="12"/>
        <color rgb="FFFF0000"/>
        <rFont val="Times New Roman"/>
        <family val="1"/>
      </rPr>
      <t xml:space="preserve"> </t>
    </r>
  </si>
  <si>
    <t xml:space="preserve"> 核   准(SBU)﹕
SBU head</t>
  </si>
  <si>
    <t>經管核準:
BC 3 :</t>
  </si>
  <si>
    <r>
      <t xml:space="preserve">經管審核1:
BC 1 </t>
    </r>
    <r>
      <rPr>
        <b/>
        <sz val="12"/>
        <rFont val="Times New Roman"/>
        <family val="1"/>
      </rPr>
      <t xml:space="preserve">
經管審核2:
BC 2 </t>
    </r>
  </si>
  <si>
    <t>經管IE審核:
BC IE 
OPM:</t>
  </si>
  <si>
    <t>NO</t>
  </si>
  <si>
    <t>料號
Part No</t>
    <phoneticPr fontId="0" type="noConversion"/>
  </si>
  <si>
    <t>規格
specification</t>
  </si>
  <si>
    <t>單位
unit</t>
    <phoneticPr fontId="0" type="noConversion"/>
  </si>
  <si>
    <t>上次請購時間
Last purchase time</t>
  </si>
  <si>
    <t>庫存量
inventory</t>
    <phoneticPr fontId="0" type="noConversion"/>
  </si>
  <si>
    <t>上次請購數量
PR quantity
(last time)</t>
    <phoneticPr fontId="0" type="noConversion"/>
  </si>
  <si>
    <t>本次請購數量
PR quantity 
(this time)</t>
    <phoneticPr fontId="0" type="noConversion"/>
  </si>
  <si>
    <t>單價
（VND）
unit price</t>
  </si>
  <si>
    <t>總價
（VND）
Amount</t>
  </si>
  <si>
    <t>單價
（USD）
unit price</t>
  </si>
  <si>
    <t>總價
（USD）
Amount</t>
  </si>
  <si>
    <t>請購原因
Reason for purchase</t>
    <phoneticPr fontId="0" type="noConversion"/>
  </si>
  <si>
    <t>付費方式
Payment methods</t>
    <phoneticPr fontId="0" type="noConversion"/>
  </si>
  <si>
    <t>請購部門代碼
Requisition department code</t>
    <phoneticPr fontId="0" type="noConversion"/>
  </si>
  <si>
    <t>廠商
Vendor</t>
    <phoneticPr fontId="0" type="noConversion"/>
  </si>
  <si>
    <t>\</t>
  </si>
  <si>
    <t>R3S4C5VN</t>
  </si>
  <si>
    <t>Total</t>
  </si>
  <si>
    <t>物品名稱Item Name</t>
  </si>
  <si>
    <t>Tran Huong Giang</t>
  </si>
  <si>
    <t>0929332499</t>
  </si>
  <si>
    <t>NPI</t>
  </si>
  <si>
    <t>HOANG HA</t>
  </si>
  <si>
    <t>L10-MP-COM-MVA2603-63OM</t>
  </si>
  <si>
    <t>27/3/2026</t>
  </si>
  <si>
    <t>Robot LAB - FDM - Part 3</t>
  </si>
  <si>
    <t>HFCOM-0115 HYPER PLA Brand:Creality</t>
  </si>
  <si>
    <t>HFCOM-0116 HYPER PETG Brand:Creality</t>
  </si>
  <si>
    <t>HFCOM-0117 TPU Brand:Creality</t>
  </si>
  <si>
    <t>HFCOM-0118 Silk PLA Brand:Creality</t>
  </si>
  <si>
    <t>Nhựa in 3d Creality Hyper Series 
PLA Filament 1.75mm 1kg Grey, 1KG, Normal (if no grey then white color)</t>
  </si>
  <si>
    <t>Nhựa in 3d FDM Creality Hyper 
PETG 1kg/ Cuộn Grey, 1KG,no grey then white 
color)，weather proof, sun proof, high endurance</t>
  </si>
  <si>
    <t>Nhựa in 3d FDM Creality HP-TPU 
tốc độ cao và độ chính xác cao 
cuộn 1kg white, 1KG soft glue</t>
  </si>
  <si>
    <t>金色，1KG料捲，一般、高亮度</t>
  </si>
  <si>
    <t>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</si>
</sst>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[$￥-804]#,##0.00;[Red][$￥-804]#,##0.00"/>
    <numFmt numFmtId="166" formatCode="_-* #,##0_-;\-* #,##0_-;_-* &quot;-&quot;??_-;_-@_-"/>
  </numFmts>
  <fonts count="16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name val="新細明體"/>
      <family val="1"/>
      <charset val="136"/>
    </font>
    <font>
      <b/>
      <sz val="18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b/>
      <sz val="12"/>
      <color rgb="FFFF0000"/>
      <name val="Times New Roman"/>
      <family val="1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20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2" fillId="0" borderId="0"/>
    <xf numFmtId="165" fontId="6" fillId="0" borderId="0"/>
  </cellStyleXfs>
  <cellXfs count="52">
    <xf numFmtId="0" fontId="0" fillId="0" borderId="0" xfId="0"/>
    <xf numFmtId="0" fontId="5" fillId="0" borderId="2" xfId="2" applyNumberFormat="1" applyFont="1" applyFill="1" applyBorder="1" applyAlignment="1">
      <alignment horizontal="center" vertical="center" wrapText="1"/>
    </xf>
    <xf numFmtId="0" fontId="5" fillId="0" borderId="2" xfId="2" applyNumberFormat="1" applyFont="1" applyFill="1" applyBorder="1" applyAlignment="1">
      <alignment horizontal="center" vertical="center"/>
    </xf>
    <xf numFmtId="0" fontId="5" fillId="0" borderId="4" xfId="3" applyNumberFormat="1" applyFont="1" applyFill="1" applyBorder="1" applyAlignment="1">
      <alignment horizontal="center" vertical="center" wrapText="1"/>
    </xf>
    <xf numFmtId="0" fontId="5" fillId="0" borderId="2" xfId="1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5" fillId="0" borderId="3" xfId="1" applyNumberFormat="1" applyFont="1" applyFill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0" fontId="8" fillId="2" borderId="0" xfId="2" applyNumberFormat="1" applyFont="1" applyFill="1" applyBorder="1" applyAlignment="1">
      <alignment horizontal="left" vertical="center"/>
    </xf>
    <xf numFmtId="0" fontId="7" fillId="2" borderId="0" xfId="2" applyNumberFormat="1" applyFont="1" applyFill="1" applyBorder="1" applyAlignment="1">
      <alignment horizontal="center" vertical="center" wrapText="1"/>
    </xf>
    <xf numFmtId="0" fontId="7" fillId="2" borderId="0" xfId="2" applyNumberFormat="1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66" fontId="13" fillId="0" borderId="2" xfId="1" applyNumberFormat="1" applyFont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164" fontId="13" fillId="0" borderId="2" xfId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4" fontId="0" fillId="0" borderId="2" xfId="0" applyNumberFormat="1" applyBorder="1"/>
    <xf numFmtId="4" fontId="0" fillId="0" borderId="2" xfId="0" applyNumberFormat="1" applyBorder="1" applyAlignment="1">
      <alignment horizontal="center" vertical="center"/>
    </xf>
    <xf numFmtId="3" fontId="0" fillId="3" borderId="2" xfId="0" applyNumberFormat="1" applyFill="1" applyBorder="1" applyAlignment="1">
      <alignment vertical="center"/>
    </xf>
    <xf numFmtId="0" fontId="0" fillId="3" borderId="2" xfId="0" applyFill="1" applyBorder="1" applyAlignment="1">
      <alignment vertical="center" wrapText="1"/>
    </xf>
    <xf numFmtId="0" fontId="14" fillId="0" borderId="2" xfId="0" applyFont="1" applyBorder="1" applyAlignment="1">
      <alignment horizontal="center" vertical="center"/>
    </xf>
    <xf numFmtId="2" fontId="0" fillId="3" borderId="2" xfId="0" applyNumberFormat="1" applyFill="1" applyBorder="1" applyAlignment="1">
      <alignment vertical="center" wrapText="1"/>
    </xf>
    <xf numFmtId="1" fontId="0" fillId="3" borderId="2" xfId="1" applyNumberFormat="1" applyFont="1" applyFill="1" applyBorder="1" applyAlignment="1">
      <alignment vertical="center"/>
    </xf>
    <xf numFmtId="0" fontId="0" fillId="3" borderId="2" xfId="0" quotePrefix="1" applyFill="1" applyBorder="1" applyAlignment="1">
      <alignment vertical="center" wrapText="1"/>
    </xf>
    <xf numFmtId="4" fontId="0" fillId="4" borderId="2" xfId="0" applyNumberFormat="1" applyFill="1" applyBorder="1" applyAlignment="1">
      <alignment vertical="center"/>
    </xf>
    <xf numFmtId="2" fontId="0" fillId="3" borderId="3" xfId="0" applyNumberForma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13" fillId="0" borderId="6" xfId="0" applyFont="1" applyBorder="1" applyAlignment="1">
      <alignment horizontal="center" vertical="center" wrapText="1"/>
    </xf>
    <xf numFmtId="0" fontId="0" fillId="0" borderId="7" xfId="0" applyBorder="1"/>
    <xf numFmtId="0" fontId="15" fillId="0" borderId="2" xfId="0" applyFont="1" applyBorder="1" applyAlignment="1">
      <alignment vertical="center" wrapText="1"/>
    </xf>
    <xf numFmtId="0" fontId="7" fillId="2" borderId="0" xfId="2" applyNumberFormat="1" applyFont="1" applyFill="1" applyBorder="1" applyAlignment="1">
      <alignment horizontal="center" vertical="center" wrapText="1"/>
    </xf>
    <xf numFmtId="0" fontId="7" fillId="2" borderId="0" xfId="2" applyNumberFormat="1" applyFont="1" applyFill="1" applyBorder="1" applyAlignment="1">
      <alignment horizontal="center" vertical="center"/>
    </xf>
    <xf numFmtId="0" fontId="7" fillId="2" borderId="0" xfId="2" applyNumberFormat="1" applyFont="1" applyFill="1" applyBorder="1" applyAlignment="1">
      <alignment horizontal="left" vertical="center" wrapText="1"/>
    </xf>
    <xf numFmtId="0" fontId="7" fillId="2" borderId="0" xfId="2" applyNumberFormat="1" applyFont="1" applyFill="1" applyBorder="1" applyAlignment="1">
      <alignment horizontal="left" vertical="center"/>
    </xf>
    <xf numFmtId="0" fontId="7" fillId="2" borderId="0" xfId="2" applyNumberFormat="1" applyFont="1" applyFill="1" applyBorder="1" applyAlignment="1">
      <alignment horizontal="center" vertical="top" wrapText="1"/>
    </xf>
    <xf numFmtId="0" fontId="3" fillId="2" borderId="0" xfId="2" applyNumberFormat="1" applyFont="1" applyFill="1" applyBorder="1" applyAlignment="1">
      <alignment horizontal="center" vertical="center"/>
    </xf>
    <xf numFmtId="0" fontId="3" fillId="2" borderId="1" xfId="2" applyNumberFormat="1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14" fontId="5" fillId="0" borderId="3" xfId="2" applyNumberFormat="1" applyFont="1" applyFill="1" applyBorder="1" applyAlignment="1">
      <alignment horizontal="center" vertical="center"/>
    </xf>
    <xf numFmtId="14" fontId="5" fillId="0" borderId="4" xfId="2" applyNumberFormat="1" applyFont="1" applyFill="1" applyBorder="1" applyAlignment="1">
      <alignment horizontal="center" vertical="center"/>
    </xf>
    <xf numFmtId="1" fontId="5" fillId="0" borderId="3" xfId="2" quotePrefix="1" applyNumberFormat="1" applyFont="1" applyFill="1" applyBorder="1" applyAlignment="1">
      <alignment horizontal="center" vertical="center"/>
    </xf>
    <xf numFmtId="1" fontId="5" fillId="0" borderId="4" xfId="2" applyNumberFormat="1" applyFont="1" applyFill="1" applyBorder="1" applyAlignment="1">
      <alignment horizontal="center" vertical="center"/>
    </xf>
    <xf numFmtId="14" fontId="5" fillId="0" borderId="3" xfId="2" applyNumberFormat="1" applyFont="1" applyFill="1" applyBorder="1" applyAlignment="1">
      <alignment horizontal="center" vertical="center" wrapText="1"/>
    </xf>
    <xf numFmtId="0" fontId="7" fillId="2" borderId="3" xfId="2" applyNumberFormat="1" applyFont="1" applyFill="1" applyBorder="1" applyAlignment="1">
      <alignment horizontal="center" vertical="center" wrapText="1"/>
    </xf>
    <xf numFmtId="0" fontId="7" fillId="2" borderId="5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4">
    <cellStyle name="? 3" xfId="3" xr:uid="{00000000-0005-0000-0000-000000000000}"/>
    <cellStyle name="Comma" xfId="1" builtinId="3"/>
    <cellStyle name="imabs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I5" sqref="I5"/>
    </sheetView>
  </sheetViews>
  <sheetFormatPr defaultRowHeight="15" x14ac:dyDescent="0.25"/>
  <cols>
    <col min="1" max="1" width="8.7109375" bestFit="1" customWidth="1"/>
    <col min="2" max="2" width="29.42578125" bestFit="1" customWidth="1"/>
    <col min="3" max="3" width="17.7109375" bestFit="1" customWidth="1"/>
    <col min="4" max="4" width="15.42578125" customWidth="1"/>
    <col min="5" max="5" width="16.28515625" customWidth="1"/>
  </cols>
  <sheetData>
    <row r="1" spans="1:5" x14ac:dyDescent="0.25">
      <c r="A1" s="38" t="str">
        <f>'L10-MP-COM-MVA2603-63OM'!A1:Q1</f>
        <v>L10-MP-COM-MVA2603-63OM</v>
      </c>
      <c r="B1" s="38"/>
      <c r="C1" s="38"/>
      <c r="D1" s="38"/>
      <c r="E1" s="40"/>
    </row>
    <row r="2" spans="1:5" x14ac:dyDescent="0.25">
      <c r="A2" s="39"/>
      <c r="B2" s="39"/>
      <c r="C2" s="39"/>
      <c r="D2" s="39"/>
      <c r="E2" s="41"/>
    </row>
    <row r="3" spans="1:5" ht="60" x14ac:dyDescent="0.25">
      <c r="A3" s="1" t="s">
        <v>0</v>
      </c>
      <c r="B3" s="2" t="s">
        <v>39</v>
      </c>
      <c r="C3" s="1" t="s">
        <v>1</v>
      </c>
      <c r="D3" s="42" t="s">
        <v>47</v>
      </c>
      <c r="E3" s="43"/>
    </row>
    <row r="4" spans="1:5" ht="45" x14ac:dyDescent="0.25">
      <c r="A4" s="1" t="s">
        <v>2</v>
      </c>
      <c r="B4" s="2" t="s">
        <v>42</v>
      </c>
      <c r="C4" s="1" t="s">
        <v>3</v>
      </c>
      <c r="D4" s="44" t="s">
        <v>43</v>
      </c>
      <c r="E4" s="45"/>
    </row>
    <row r="5" spans="1:5" ht="75" x14ac:dyDescent="0.25">
      <c r="A5" s="1" t="s">
        <v>4</v>
      </c>
      <c r="B5" s="3" t="s">
        <v>44</v>
      </c>
      <c r="C5" s="1" t="s">
        <v>5</v>
      </c>
      <c r="D5" s="46" t="s">
        <v>6</v>
      </c>
      <c r="E5" s="43"/>
    </row>
    <row r="6" spans="1:5" ht="60" x14ac:dyDescent="0.25">
      <c r="A6" s="1" t="s">
        <v>7</v>
      </c>
      <c r="B6" s="3" t="s">
        <v>8</v>
      </c>
      <c r="C6" s="1" t="s">
        <v>9</v>
      </c>
      <c r="D6" s="1" t="s">
        <v>10</v>
      </c>
      <c r="E6" s="4" t="s">
        <v>11</v>
      </c>
    </row>
    <row r="7" spans="1:5" ht="75" x14ac:dyDescent="0.25">
      <c r="A7" s="1" t="s">
        <v>12</v>
      </c>
      <c r="B7" s="5" t="str">
        <f>A1</f>
        <v>L10-MP-COM-MVA2603-63OM</v>
      </c>
      <c r="C7" s="6" t="s">
        <v>13</v>
      </c>
      <c r="D7" s="7">
        <f>'L10-MP-COM-MVA2603-63OM'!K7</f>
        <v>5785000</v>
      </c>
      <c r="E7" s="20">
        <f>'L10-MP-COM-MVA2603-63OM'!M7</f>
        <v>220.90270352833357</v>
      </c>
    </row>
    <row r="8" spans="1:5" ht="40.5" customHeight="1" x14ac:dyDescent="0.25">
      <c r="A8" s="47" t="s">
        <v>14</v>
      </c>
      <c r="B8" s="48"/>
      <c r="C8" s="49"/>
      <c r="D8" s="7">
        <f>D7</f>
        <v>5785000</v>
      </c>
      <c r="E8" s="20">
        <f>E7</f>
        <v>220.90270352833357</v>
      </c>
    </row>
    <row r="9" spans="1:5" ht="15.75" x14ac:dyDescent="0.25">
      <c r="A9" s="8"/>
      <c r="B9" s="8"/>
      <c r="C9" s="8"/>
      <c r="D9" s="33" t="s">
        <v>15</v>
      </c>
      <c r="E9" s="34"/>
    </row>
    <row r="10" spans="1:5" ht="47.25" x14ac:dyDescent="0.25">
      <c r="A10" s="9" t="s">
        <v>16</v>
      </c>
      <c r="B10" s="8"/>
      <c r="C10" s="35" t="s">
        <v>17</v>
      </c>
      <c r="D10" s="34"/>
      <c r="E10" s="34"/>
    </row>
    <row r="11" spans="1:5" ht="78.75" x14ac:dyDescent="0.25">
      <c r="A11" s="9" t="s">
        <v>18</v>
      </c>
      <c r="B11" s="8"/>
      <c r="C11" s="36"/>
      <c r="D11" s="34"/>
      <c r="E11" s="34"/>
    </row>
    <row r="12" spans="1:5" ht="94.5" x14ac:dyDescent="0.25">
      <c r="A12" s="9" t="s">
        <v>19</v>
      </c>
      <c r="B12" s="8"/>
      <c r="C12" s="10" t="s">
        <v>20</v>
      </c>
      <c r="D12" s="37" t="s">
        <v>21</v>
      </c>
      <c r="E12" s="37"/>
    </row>
  </sheetData>
  <mergeCells count="9">
    <mergeCell ref="D9:E11"/>
    <mergeCell ref="C10:C11"/>
    <mergeCell ref="D12:E12"/>
    <mergeCell ref="A1:D2"/>
    <mergeCell ref="E1:E2"/>
    <mergeCell ref="D3:E3"/>
    <mergeCell ref="D4:E4"/>
    <mergeCell ref="D5:E5"/>
    <mergeCell ref="A8:C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tabSelected="1" zoomScale="112" zoomScaleNormal="112" workbookViewId="0">
      <selection activeCell="Q6" sqref="Q6"/>
    </sheetView>
  </sheetViews>
  <sheetFormatPr defaultRowHeight="15" x14ac:dyDescent="0.25"/>
  <cols>
    <col min="1" max="1" width="3.5703125" bestFit="1" customWidth="1"/>
    <col min="2" max="2" width="29.28515625" customWidth="1"/>
    <col min="3" max="3" width="15.5703125" bestFit="1" customWidth="1"/>
    <col min="4" max="4" width="27.7109375" bestFit="1" customWidth="1"/>
    <col min="5" max="5" width="7.42578125" bestFit="1" customWidth="1"/>
    <col min="6" max="7" width="8.42578125" bestFit="1" customWidth="1"/>
    <col min="8" max="8" width="8.85546875" bestFit="1" customWidth="1"/>
    <col min="9" max="9" width="11.28515625" bestFit="1" customWidth="1"/>
    <col min="10" max="10" width="10.7109375" bestFit="1" customWidth="1"/>
    <col min="11" max="11" width="13.28515625" bestFit="1" customWidth="1"/>
    <col min="13" max="13" width="10.7109375" bestFit="1" customWidth="1"/>
    <col min="14" max="14" width="24.28515625" customWidth="1"/>
    <col min="16" max="16" width="11.28515625" bestFit="1" customWidth="1"/>
    <col min="17" max="17" width="19.140625" bestFit="1" customWidth="1"/>
  </cols>
  <sheetData>
    <row r="1" spans="1:17" ht="26.25" x14ac:dyDescent="0.4">
      <c r="A1" s="50" t="s">
        <v>46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63.75" x14ac:dyDescent="0.25">
      <c r="A2" s="11" t="s">
        <v>22</v>
      </c>
      <c r="B2" s="12" t="s">
        <v>41</v>
      </c>
      <c r="C2" s="12" t="s">
        <v>23</v>
      </c>
      <c r="D2" s="12" t="s">
        <v>24</v>
      </c>
      <c r="E2" s="12" t="s">
        <v>25</v>
      </c>
      <c r="F2" s="12" t="s">
        <v>26</v>
      </c>
      <c r="G2" s="12" t="s">
        <v>27</v>
      </c>
      <c r="H2" s="12" t="s">
        <v>28</v>
      </c>
      <c r="I2" s="12" t="s">
        <v>29</v>
      </c>
      <c r="J2" s="13" t="s">
        <v>30</v>
      </c>
      <c r="K2" s="13" t="s">
        <v>31</v>
      </c>
      <c r="L2" s="14" t="s">
        <v>32</v>
      </c>
      <c r="M2" s="15" t="s">
        <v>33</v>
      </c>
      <c r="N2" s="30" t="s">
        <v>34</v>
      </c>
      <c r="O2" s="12" t="s">
        <v>35</v>
      </c>
      <c r="P2" s="12" t="s">
        <v>36</v>
      </c>
      <c r="Q2" s="16" t="s">
        <v>37</v>
      </c>
    </row>
    <row r="3" spans="1:17" ht="75" x14ac:dyDescent="0.25">
      <c r="A3" s="23">
        <v>1</v>
      </c>
      <c r="B3" s="22" t="s">
        <v>49</v>
      </c>
      <c r="C3" s="22" t="s">
        <v>38</v>
      </c>
      <c r="D3" s="26" t="s">
        <v>53</v>
      </c>
      <c r="E3" s="22" t="s">
        <v>57</v>
      </c>
      <c r="F3" s="22" t="s">
        <v>38</v>
      </c>
      <c r="G3" s="22" t="s">
        <v>38</v>
      </c>
      <c r="H3" s="22" t="s">
        <v>38</v>
      </c>
      <c r="I3" s="25">
        <v>5</v>
      </c>
      <c r="J3" s="21">
        <v>365000</v>
      </c>
      <c r="K3" s="21">
        <f t="shared" ref="K3" si="0">I3*J3</f>
        <v>1825000</v>
      </c>
      <c r="L3" s="24">
        <f>J3/26188</f>
        <v>13.937681380785092</v>
      </c>
      <c r="M3" s="28">
        <f t="shared" ref="M3" si="1">I3*L3</f>
        <v>69.688406903925454</v>
      </c>
      <c r="N3" s="32" t="s">
        <v>48</v>
      </c>
      <c r="O3" s="29" t="s">
        <v>8</v>
      </c>
      <c r="P3" s="22" t="s">
        <v>39</v>
      </c>
      <c r="Q3" s="22" t="s">
        <v>45</v>
      </c>
    </row>
    <row r="4" spans="1:17" ht="90" x14ac:dyDescent="0.25">
      <c r="A4" s="23">
        <v>2</v>
      </c>
      <c r="B4" s="22" t="s">
        <v>50</v>
      </c>
      <c r="C4" s="22" t="s">
        <v>38</v>
      </c>
      <c r="D4" s="26" t="s">
        <v>54</v>
      </c>
      <c r="E4" s="22" t="s">
        <v>57</v>
      </c>
      <c r="F4" s="22" t="s">
        <v>38</v>
      </c>
      <c r="G4" s="22" t="s">
        <v>38</v>
      </c>
      <c r="H4" s="22" t="s">
        <v>38</v>
      </c>
      <c r="I4" s="25">
        <v>5</v>
      </c>
      <c r="J4" s="21">
        <v>335000</v>
      </c>
      <c r="K4" s="21">
        <f t="shared" ref="K4:K6" si="2">I4*J4</f>
        <v>1675000</v>
      </c>
      <c r="L4" s="24">
        <f t="shared" ref="L4:L6" si="3">J4/26188</f>
        <v>12.79211852756988</v>
      </c>
      <c r="M4" s="28">
        <f t="shared" ref="M4:M6" si="4">I4*L4</f>
        <v>63.960592637849402</v>
      </c>
      <c r="N4" s="32" t="s">
        <v>48</v>
      </c>
      <c r="O4" s="29" t="s">
        <v>8</v>
      </c>
      <c r="P4" s="22" t="s">
        <v>39</v>
      </c>
      <c r="Q4" s="22" t="s">
        <v>45</v>
      </c>
    </row>
    <row r="5" spans="1:17" ht="60" x14ac:dyDescent="0.25">
      <c r="A5" s="23">
        <v>3</v>
      </c>
      <c r="B5" s="22" t="s">
        <v>51</v>
      </c>
      <c r="C5" s="22" t="s">
        <v>38</v>
      </c>
      <c r="D5" s="26" t="s">
        <v>55</v>
      </c>
      <c r="E5" s="22" t="s">
        <v>57</v>
      </c>
      <c r="F5" s="22" t="s">
        <v>38</v>
      </c>
      <c r="G5" s="22" t="s">
        <v>38</v>
      </c>
      <c r="H5" s="22" t="s">
        <v>38</v>
      </c>
      <c r="I5" s="25">
        <v>1</v>
      </c>
      <c r="J5" s="21">
        <v>965000</v>
      </c>
      <c r="K5" s="21">
        <f t="shared" si="2"/>
        <v>965000</v>
      </c>
      <c r="L5" s="24">
        <f t="shared" si="3"/>
        <v>36.848938445089352</v>
      </c>
      <c r="M5" s="28">
        <f t="shared" si="4"/>
        <v>36.848938445089352</v>
      </c>
      <c r="N5" s="32" t="s">
        <v>48</v>
      </c>
      <c r="O5" s="29" t="s">
        <v>8</v>
      </c>
      <c r="P5" s="22" t="s">
        <v>39</v>
      </c>
      <c r="Q5" s="22" t="s">
        <v>45</v>
      </c>
    </row>
    <row r="6" spans="1:17" ht="30" x14ac:dyDescent="0.25">
      <c r="A6" s="23">
        <v>4</v>
      </c>
      <c r="B6" s="22" t="s">
        <v>52</v>
      </c>
      <c r="C6" s="22" t="s">
        <v>38</v>
      </c>
      <c r="D6" s="26" t="s">
        <v>56</v>
      </c>
      <c r="E6" s="22" t="s">
        <v>57</v>
      </c>
      <c r="F6" s="22" t="s">
        <v>38</v>
      </c>
      <c r="G6" s="22" t="s">
        <v>38</v>
      </c>
      <c r="H6" s="22" t="s">
        <v>38</v>
      </c>
      <c r="I6" s="25">
        <v>3</v>
      </c>
      <c r="J6" s="21">
        <v>440000</v>
      </c>
      <c r="K6" s="21">
        <f t="shared" si="2"/>
        <v>1320000</v>
      </c>
      <c r="L6" s="24">
        <f t="shared" si="3"/>
        <v>16.801588513823123</v>
      </c>
      <c r="M6" s="28">
        <f t="shared" si="4"/>
        <v>50.404765541469374</v>
      </c>
      <c r="N6" s="32" t="s">
        <v>48</v>
      </c>
      <c r="O6" s="29" t="s">
        <v>8</v>
      </c>
      <c r="P6" s="22" t="s">
        <v>39</v>
      </c>
      <c r="Q6" s="22" t="s">
        <v>45</v>
      </c>
    </row>
    <row r="7" spans="1:17" x14ac:dyDescent="0.25">
      <c r="A7" s="51" t="s">
        <v>40</v>
      </c>
      <c r="B7" s="51"/>
      <c r="C7" s="51"/>
      <c r="D7" s="51"/>
      <c r="E7" s="51"/>
      <c r="F7" s="51"/>
      <c r="G7" s="51"/>
      <c r="H7" s="51"/>
      <c r="I7" s="51"/>
      <c r="J7" s="51"/>
      <c r="K7" s="18">
        <f>SUM(K3:K6)</f>
        <v>5785000</v>
      </c>
      <c r="L7" s="19"/>
      <c r="M7" s="27">
        <f>SUM(M3:M6)</f>
        <v>220.90270352833357</v>
      </c>
      <c r="N7" s="31"/>
      <c r="O7" s="17"/>
      <c r="P7" s="17"/>
      <c r="Q7" s="22"/>
    </row>
  </sheetData>
  <mergeCells count="2">
    <mergeCell ref="A1:Q1"/>
    <mergeCell ref="A7:J7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budget-summary table</vt:lpstr>
      <vt:lpstr>L10-MP-COM-MVA2603-63OM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Ngo Thi Hong (DMS)(DMS-F&amp;S)</dc:creator>
  <cp:lastModifiedBy>Giang Tran Huong(DMS_OM)</cp:lastModifiedBy>
  <dcterms:created xsi:type="dcterms:W3CDTF">2024-10-14T04:55:56Z</dcterms:created>
  <dcterms:modified xsi:type="dcterms:W3CDTF">2026-03-27T02:46:04Z</dcterms:modified>
</cp:coreProperties>
</file>